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 2026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Subtotal</t>
        </is>
      </c>
      <c r="F1" s="1" t="inlineStr">
        <is>
          <t>Tax (10%)</t>
        </is>
      </c>
      <c r="G1" s="1" t="inlineStr">
        <is>
          <t>Total</t>
        </is>
      </c>
    </row>
    <row r="2">
      <c r="A2" t="inlineStr">
        <is>
          <t>SKU-001</t>
        </is>
      </c>
      <c r="B2" t="inlineStr">
        <is>
          <t>Wireless Mouse</t>
        </is>
      </c>
      <c r="C2" t="n">
        <v>25</v>
      </c>
      <c r="D2" t="n">
        <v>19.99</v>
      </c>
      <c r="E2">
        <f>C2*D2</f>
        <v/>
      </c>
      <c r="F2">
        <f>E2*0.1</f>
        <v/>
      </c>
      <c r="G2">
        <f>E2+F2</f>
        <v/>
      </c>
    </row>
    <row r="3">
      <c r="A3" t="inlineStr">
        <is>
          <t>SKU-002</t>
        </is>
      </c>
      <c r="B3" t="inlineStr">
        <is>
          <t>Mechanical Keyboard</t>
        </is>
      </c>
      <c r="C3" t="n">
        <v>12</v>
      </c>
      <c r="D3" t="n">
        <v>89.5</v>
      </c>
      <c r="E3">
        <f>C3*D3</f>
        <v/>
      </c>
      <c r="F3">
        <f>E3*0.1</f>
        <v/>
      </c>
      <c r="G3">
        <f>E3+F3</f>
        <v/>
      </c>
    </row>
    <row r="4">
      <c r="A4" t="inlineStr">
        <is>
          <t>SKU-003</t>
        </is>
      </c>
      <c r="B4" t="inlineStr">
        <is>
          <t>USB-C Hub</t>
        </is>
      </c>
      <c r="C4" t="n">
        <v>40</v>
      </c>
      <c r="D4" t="n">
        <v>34</v>
      </c>
      <c r="E4">
        <f>C4*D4</f>
        <v/>
      </c>
      <c r="F4">
        <f>E4*0.1</f>
        <v/>
      </c>
      <c r="G4">
        <f>E4+F4</f>
        <v/>
      </c>
    </row>
    <row r="5">
      <c r="A5" t="inlineStr">
        <is>
          <t>SKU-004</t>
        </is>
      </c>
      <c r="B5" t="inlineStr">
        <is>
          <t>27" Monitor</t>
        </is>
      </c>
      <c r="C5" t="n">
        <v>8</v>
      </c>
      <c r="D5" t="n">
        <v>299.99</v>
      </c>
      <c r="E5">
        <f>C5*D5</f>
        <v/>
      </c>
      <c r="F5">
        <f>E5*0.1</f>
        <v/>
      </c>
      <c r="G5">
        <f>E5+F5</f>
        <v/>
      </c>
    </row>
    <row r="6">
      <c r="A6" t="inlineStr">
        <is>
          <t>SKU-005</t>
        </is>
      </c>
      <c r="B6" t="inlineStr">
        <is>
          <t>Webcam HD</t>
        </is>
      </c>
      <c r="C6" t="n">
        <v>15</v>
      </c>
      <c r="D6" t="n">
        <v>59.95</v>
      </c>
      <c r="E6">
        <f>C6*D6</f>
        <v/>
      </c>
      <c r="F6">
        <f>E6*0.1</f>
        <v/>
      </c>
      <c r="G6">
        <f>E6+F6</f>
        <v/>
      </c>
    </row>
    <row r="7">
      <c r="A7" t="inlineStr">
        <is>
          <t>SKU-006</t>
        </is>
      </c>
      <c r="B7" t="inlineStr">
        <is>
          <t>Desk Lamp</t>
        </is>
      </c>
      <c r="C7" t="n">
        <v>30</v>
      </c>
      <c r="D7" t="n">
        <v>24.5</v>
      </c>
      <c r="E7">
        <f>C7*D7</f>
        <v/>
      </c>
      <c r="F7">
        <f>E7*0.1</f>
        <v/>
      </c>
      <c r="G7">
        <f>E7+F7</f>
        <v/>
      </c>
    </row>
    <row r="8">
      <c r="A8" t="inlineStr">
        <is>
          <t>SKU-007</t>
        </is>
      </c>
      <c r="B8" t="inlineStr">
        <is>
          <t>Office Chair</t>
        </is>
      </c>
      <c r="C8" t="n">
        <v>5</v>
      </c>
      <c r="D8" t="n">
        <v>219</v>
      </c>
      <c r="E8">
        <f>C8*D8</f>
        <v/>
      </c>
      <c r="F8">
        <f>E8*0.1</f>
        <v/>
      </c>
      <c r="G8">
        <f>E8+F8</f>
        <v/>
      </c>
    </row>
    <row r="9">
      <c r="A9" t="inlineStr">
        <is>
          <t>SKU-008</t>
        </is>
      </c>
      <c r="B9" t="inlineStr">
        <is>
          <t>Standing Desk</t>
        </is>
      </c>
      <c r="C9" t="n">
        <v>3</v>
      </c>
      <c r="D9" t="n">
        <v>449</v>
      </c>
      <c r="E9">
        <f>C9*D9</f>
        <v/>
      </c>
      <c r="F9">
        <f>E9*0.1</f>
        <v/>
      </c>
      <c r="G9">
        <f>E9+F9</f>
        <v/>
      </c>
    </row>
    <row r="10">
      <c r="A10" t="inlineStr"/>
      <c r="B10" s="2" t="inlineStr">
        <is>
          <t>TOTAL</t>
        </is>
      </c>
      <c r="C10">
        <f>SUM(C2:C9)</f>
        <v/>
      </c>
      <c r="D10" t="inlineStr"/>
      <c r="E10">
        <f>SUM(E2:E9)</f>
        <v/>
      </c>
      <c r="F10">
        <f>SUM(F2:F9)</f>
        <v/>
      </c>
      <c r="G10">
        <f>SUM(G2:G9)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9" customWidth="1" min="4" max="4"/>
    <col width="19" customWidth="1" min="5" max="5"/>
    <col width="19" customWidth="1" min="6" max="6"/>
    <col width="36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Rep</t>
        </is>
      </c>
      <c r="D1" s="1" t="inlineStr">
        <is>
          <t>Units</t>
        </is>
      </c>
      <c r="E1" s="1" t="inlineStr">
        <is>
          <t>Revenue</t>
        </is>
      </c>
      <c r="F1" s="1" t="inlineStr">
        <is>
          <t>Commission (8%)</t>
        </is>
      </c>
      <c r="G1" s="1" t="inlineStr">
        <is>
          <t>Status</t>
        </is>
      </c>
    </row>
    <row r="2">
      <c r="A2" t="inlineStr">
        <is>
          <t>2026-01-05</t>
        </is>
      </c>
      <c r="B2" t="inlineStr">
        <is>
          <t>North</t>
        </is>
      </c>
      <c r="C2" t="inlineStr">
        <is>
          <t>Alice</t>
        </is>
      </c>
      <c r="D2" t="n">
        <v>120</v>
      </c>
      <c r="E2" t="n">
        <v>4800</v>
      </c>
      <c r="F2">
        <f>E2*0.08</f>
        <v/>
      </c>
      <c r="G2">
        <f>IF(E2&gt;=6000,"Bonus","Standard")</f>
        <v/>
      </c>
    </row>
    <row r="3">
      <c r="A3" t="inlineStr">
        <is>
          <t>2026-01-18</t>
        </is>
      </c>
      <c r="B3" t="inlineStr">
        <is>
          <t>South</t>
        </is>
      </c>
      <c r="C3" t="inlineStr">
        <is>
          <t>Bob</t>
        </is>
      </c>
      <c r="D3" t="n">
        <v>85</v>
      </c>
      <c r="E3" t="n">
        <v>3200</v>
      </c>
      <c r="F3">
        <f>E3*0.08</f>
        <v/>
      </c>
      <c r="G3">
        <f>IF(E3&gt;=6000,"Bonus","Standard")</f>
        <v/>
      </c>
    </row>
    <row r="4">
      <c r="A4" t="inlineStr">
        <is>
          <t>2026-02-02</t>
        </is>
      </c>
      <c r="B4" t="inlineStr">
        <is>
          <t>East</t>
        </is>
      </c>
      <c r="C4" t="inlineStr">
        <is>
          <t>Carlos</t>
        </is>
      </c>
      <c r="D4" t="n">
        <v>210</v>
      </c>
      <c r="E4" t="n">
        <v>9450</v>
      </c>
      <c r="F4">
        <f>E4*0.08</f>
        <v/>
      </c>
      <c r="G4">
        <f>IF(E4&gt;=6000,"Bonus","Standard")</f>
        <v/>
      </c>
    </row>
    <row r="5">
      <c r="A5" t="inlineStr">
        <is>
          <t>2026-02-22</t>
        </is>
      </c>
      <c r="B5" t="inlineStr">
        <is>
          <t>West</t>
        </is>
      </c>
      <c r="C5" t="inlineStr">
        <is>
          <t>Diana</t>
        </is>
      </c>
      <c r="D5" t="n">
        <v>60</v>
      </c>
      <c r="E5" t="n">
        <v>2400</v>
      </c>
      <c r="F5">
        <f>E5*0.08</f>
        <v/>
      </c>
      <c r="G5">
        <f>IF(E5&gt;=6000,"Bonus","Standard")</f>
        <v/>
      </c>
    </row>
    <row r="6">
      <c r="A6" t="inlineStr">
        <is>
          <t>2026-03-10</t>
        </is>
      </c>
      <c r="B6" t="inlineStr">
        <is>
          <t>North</t>
        </is>
      </c>
      <c r="C6" t="inlineStr">
        <is>
          <t>Alice</t>
        </is>
      </c>
      <c r="D6" t="n">
        <v>175</v>
      </c>
      <c r="E6" t="n">
        <v>7000</v>
      </c>
      <c r="F6">
        <f>E6*0.08</f>
        <v/>
      </c>
      <c r="G6">
        <f>IF(E6&gt;=6000,"Bonus","Standard")</f>
        <v/>
      </c>
    </row>
    <row r="7">
      <c r="A7" t="inlineStr">
        <is>
          <t>2026-03-28</t>
        </is>
      </c>
      <c r="B7" t="inlineStr">
        <is>
          <t>South</t>
        </is>
      </c>
      <c r="C7" t="inlineStr">
        <is>
          <t>Bob</t>
        </is>
      </c>
      <c r="D7" t="n">
        <v>130</v>
      </c>
      <c r="E7" t="n">
        <v>5200</v>
      </c>
      <c r="F7">
        <f>E7*0.08</f>
        <v/>
      </c>
      <c r="G7">
        <f>IF(E7&gt;=6000,"Bonus","Standard")</f>
        <v/>
      </c>
    </row>
    <row r="8">
      <c r="A8" t="inlineStr">
        <is>
          <t>2026-04-12</t>
        </is>
      </c>
      <c r="B8" t="inlineStr">
        <is>
          <t>East</t>
        </is>
      </c>
      <c r="C8" t="inlineStr">
        <is>
          <t>Carlos</t>
        </is>
      </c>
      <c r="D8" t="n">
        <v>240</v>
      </c>
      <c r="E8" t="n">
        <v>10800</v>
      </c>
      <c r="F8">
        <f>E8*0.08</f>
        <v/>
      </c>
      <c r="G8">
        <f>IF(E8&gt;=6000,"Bonus","Standard")</f>
        <v/>
      </c>
    </row>
    <row r="9">
      <c r="A9" t="inlineStr">
        <is>
          <t>2026-04-30</t>
        </is>
      </c>
      <c r="B9" t="inlineStr">
        <is>
          <t>West</t>
        </is>
      </c>
      <c r="C9" t="inlineStr">
        <is>
          <t>Diana</t>
        </is>
      </c>
      <c r="D9" t="n">
        <v>95</v>
      </c>
      <c r="E9" t="n">
        <v>3800</v>
      </c>
      <c r="F9">
        <f>E9*0.08</f>
        <v/>
      </c>
      <c r="G9">
        <f>IF(E9&gt;=6000,"Bonus","Standard")</f>
        <v/>
      </c>
    </row>
    <row r="10">
      <c r="A10" t="inlineStr">
        <is>
          <t>2026-05-15</t>
        </is>
      </c>
      <c r="B10" t="inlineStr">
        <is>
          <t>North</t>
        </is>
      </c>
      <c r="C10" t="inlineStr">
        <is>
          <t>Alice</t>
        </is>
      </c>
      <c r="D10" t="n">
        <v>160</v>
      </c>
      <c r="E10" t="n">
        <v>6400</v>
      </c>
      <c r="F10">
        <f>E10*0.08</f>
        <v/>
      </c>
      <c r="G10">
        <f>IF(E10&gt;=6000,"Bonus","Standard")</f>
        <v/>
      </c>
    </row>
    <row r="11">
      <c r="A11" t="inlineStr">
        <is>
          <t>2026-06-01</t>
        </is>
      </c>
      <c r="B11" t="inlineStr">
        <is>
          <t>South</t>
        </is>
      </c>
      <c r="C11" t="inlineStr">
        <is>
          <t>Bob</t>
        </is>
      </c>
      <c r="D11" t="n">
        <v>145</v>
      </c>
      <c r="E11" t="n">
        <v>5800</v>
      </c>
      <c r="F11">
        <f>E11*0.08</f>
        <v/>
      </c>
      <c r="G11">
        <f>IF(E11&gt;=6000,"Bonus","Standard")</f>
        <v/>
      </c>
    </row>
    <row r="12">
      <c r="A12" t="inlineStr"/>
      <c r="B12" t="inlineStr"/>
      <c r="C12" t="inlineStr">
        <is>
          <t>TOTAL</t>
        </is>
      </c>
      <c r="D12">
        <f>SUM(D2:D11)</f>
        <v/>
      </c>
      <c r="E12">
        <f>SUM(E2:E11)</f>
        <v/>
      </c>
      <c r="F12">
        <f>SUM(F2:F11)</f>
        <v/>
      </c>
      <c r="G12" t="inlineStr"/>
    </row>
    <row r="13">
      <c r="A13" t="inlineStr"/>
      <c r="B13" t="inlineStr"/>
      <c r="C13" t="inlineStr">
        <is>
          <t>AVG</t>
        </is>
      </c>
      <c r="D13">
        <f>AVERAGE(D2:D11)</f>
        <v/>
      </c>
      <c r="E13">
        <f>AVERAGE(E2:E11)</f>
        <v/>
      </c>
      <c r="F13">
        <f>AVERAGE(F2:F11)</f>
        <v/>
      </c>
      <c r="G13" t="inlineStr"/>
    </row>
    <row r="14">
      <c r="A14" t="inlineStr"/>
      <c r="B14" t="inlineStr"/>
      <c r="C14" t="inlineStr">
        <is>
          <t>MAX</t>
        </is>
      </c>
      <c r="D14">
        <f>MAX(D2:D11)</f>
        <v/>
      </c>
      <c r="E14">
        <f>MAX(E2:E11)</f>
        <v/>
      </c>
      <c r="F14">
        <f>MAX(F2:F11)</f>
        <v/>
      </c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7" customWidth="1" min="4" max="4"/>
    <col width="14" customWidth="1" min="5" max="5"/>
    <col width="15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Hire Date</t>
        </is>
      </c>
      <c r="E1" s="1" t="inlineStr">
        <is>
          <t>Salary</t>
        </is>
      </c>
      <c r="F1" s="1" t="inlineStr">
        <is>
          <t>Annual Bonus</t>
        </is>
      </c>
      <c r="G1" s="1" t="inlineStr">
        <is>
          <t>Years</t>
        </is>
      </c>
    </row>
    <row r="2">
      <c r="A2" t="n">
        <v>1001</v>
      </c>
      <c r="B2" t="inlineStr">
        <is>
          <t>Anna Lee</t>
        </is>
      </c>
      <c r="C2" t="inlineStr">
        <is>
          <t>Engineering</t>
        </is>
      </c>
      <c r="D2" t="inlineStr">
        <is>
          <t>2019-03-15</t>
        </is>
      </c>
      <c r="E2" t="n">
        <v>95000</v>
      </c>
      <c r="F2">
        <f>E2*0.05</f>
        <v/>
      </c>
      <c r="G2">
        <f>DATEDIF(DATEVALUE(D2),DATEVALUE("2026-06-16"),"Y")</f>
        <v/>
      </c>
    </row>
    <row r="3">
      <c r="A3" t="n">
        <v>1002</v>
      </c>
      <c r="B3" t="inlineStr">
        <is>
          <t>Brian Cho</t>
        </is>
      </c>
      <c r="C3" t="inlineStr">
        <is>
          <t>Sales</t>
        </is>
      </c>
      <c r="D3" t="inlineStr">
        <is>
          <t>2021-07-01</t>
        </is>
      </c>
      <c r="E3" t="n">
        <v>72000</v>
      </c>
      <c r="F3">
        <f>E3*0.05</f>
        <v/>
      </c>
      <c r="G3">
        <f>DATEDIF(DATEVALUE(D3),DATEVALUE("2026-06-16"),"Y")</f>
        <v/>
      </c>
    </row>
    <row r="4">
      <c r="A4" t="n">
        <v>1003</v>
      </c>
      <c r="B4" t="inlineStr">
        <is>
          <t>Chen Wei</t>
        </is>
      </c>
      <c r="C4" t="inlineStr">
        <is>
          <t>Engineering</t>
        </is>
      </c>
      <c r="D4" t="inlineStr">
        <is>
          <t>2018-11-20</t>
        </is>
      </c>
      <c r="E4" t="n">
        <v>102000</v>
      </c>
      <c r="F4">
        <f>E4*0.05</f>
        <v/>
      </c>
      <c r="G4">
        <f>DATEDIF(DATEVALUE(D4),DATEVALUE("2026-06-16"),"Y")</f>
        <v/>
      </c>
    </row>
    <row r="5">
      <c r="A5" t="n">
        <v>1004</v>
      </c>
      <c r="B5" t="inlineStr">
        <is>
          <t>Dmitri Volkov</t>
        </is>
      </c>
      <c r="C5" t="inlineStr">
        <is>
          <t>Marketing</t>
        </is>
      </c>
      <c r="D5" t="inlineStr">
        <is>
          <t>2022-02-10</t>
        </is>
      </c>
      <c r="E5" t="n">
        <v>68000</v>
      </c>
      <c r="F5">
        <f>E5*0.05</f>
        <v/>
      </c>
      <c r="G5">
        <f>DATEDIF(DATEVALUE(D5),DATEVALUE("2026-06-16"),"Y")</f>
        <v/>
      </c>
    </row>
    <row r="6">
      <c r="A6" t="n">
        <v>1005</v>
      </c>
      <c r="B6" t="inlineStr">
        <is>
          <t>Elena Ruiz</t>
        </is>
      </c>
      <c r="C6" t="inlineStr">
        <is>
          <t>HR</t>
        </is>
      </c>
      <c r="D6" t="inlineStr">
        <is>
          <t>2020-09-05</t>
        </is>
      </c>
      <c r="E6" t="n">
        <v>75000</v>
      </c>
      <c r="F6">
        <f>E6*0.05</f>
        <v/>
      </c>
      <c r="G6">
        <f>DATEDIF(DATEVALUE(D6),DATEVALUE("2026-06-16"),"Y")</f>
        <v/>
      </c>
    </row>
    <row r="7">
      <c r="A7" t="n">
        <v>1006</v>
      </c>
      <c r="B7" t="inlineStr">
        <is>
          <t>Farah Khan</t>
        </is>
      </c>
      <c r="C7" t="inlineStr">
        <is>
          <t>Engineering</t>
        </is>
      </c>
      <c r="D7" t="inlineStr">
        <is>
          <t>2023-01-12</t>
        </is>
      </c>
      <c r="E7" t="n">
        <v>88000</v>
      </c>
      <c r="F7">
        <f>E7*0.05</f>
        <v/>
      </c>
      <c r="G7">
        <f>DATEDIF(DATEVALUE(D7),DATEVALUE("2026-06-16"),"Y")</f>
        <v/>
      </c>
    </row>
    <row r="8">
      <c r="A8" t="n">
        <v>1007</v>
      </c>
      <c r="B8" t="inlineStr">
        <is>
          <t>Greg Holm</t>
        </is>
      </c>
      <c r="C8" t="inlineStr">
        <is>
          <t>Finance</t>
        </is>
      </c>
      <c r="D8" t="inlineStr">
        <is>
          <t>2017-05-22</t>
        </is>
      </c>
      <c r="E8" t="n">
        <v>110000</v>
      </c>
      <c r="F8">
        <f>E8*0.05</f>
        <v/>
      </c>
      <c r="G8">
        <f>DATEDIF(DATEVALUE(D8),DATEVALUE("2026-06-16"),"Y")</f>
        <v/>
      </c>
    </row>
    <row r="9">
      <c r="A9" t="inlineStr"/>
      <c r="B9" t="inlineStr"/>
      <c r="C9" t="inlineStr">
        <is>
          <t>COUNT</t>
        </is>
      </c>
      <c r="D9">
        <f>COUNTA(B2:B8)</f>
        <v/>
      </c>
      <c r="E9">
        <f>SUM(E2:E8)</f>
        <v/>
      </c>
      <c r="F9">
        <f>SUM(F2:F8)</f>
        <v/>
      </c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9" customWidth="1" min="5" max="5"/>
    <col width="24" customWidth="1" min="6" max="6"/>
  </cols>
  <sheetData>
    <row r="1">
      <c r="A1" s="1" t="inlineStr">
        <is>
          <t>Category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% Used</t>
        </is>
      </c>
      <c r="F1" s="1" t="inlineStr">
        <is>
          <t>Flag</t>
        </is>
      </c>
    </row>
    <row r="2">
      <c r="A2" t="inlineStr">
        <is>
          <t>Salaries</t>
        </is>
      </c>
      <c r="B2" t="n">
        <v>450000</v>
      </c>
      <c r="C2" t="n">
        <v>462000</v>
      </c>
      <c r="D2">
        <f>C2-B2</f>
        <v/>
      </c>
      <c r="E2" s="3">
        <f>C2/B2</f>
        <v/>
      </c>
      <c r="F2">
        <f>IF(D2&gt;0,"OVER","OK")</f>
        <v/>
      </c>
    </row>
    <row r="3">
      <c r="A3" t="inlineStr">
        <is>
          <t>Marketing</t>
        </is>
      </c>
      <c r="B3" t="n">
        <v>80000</v>
      </c>
      <c r="C3" t="n">
        <v>74500</v>
      </c>
      <c r="D3">
        <f>C3-B3</f>
        <v/>
      </c>
      <c r="E3" s="3">
        <f>C3/B3</f>
        <v/>
      </c>
      <c r="F3">
        <f>IF(D3&gt;0,"OVER","OK")</f>
        <v/>
      </c>
    </row>
    <row r="4">
      <c r="A4" t="inlineStr">
        <is>
          <t>R&amp;D</t>
        </is>
      </c>
      <c r="B4" t="n">
        <v>220000</v>
      </c>
      <c r="C4" t="n">
        <v>235000</v>
      </c>
      <c r="D4">
        <f>C4-B4</f>
        <v/>
      </c>
      <c r="E4" s="3">
        <f>C4/B4</f>
        <v/>
      </c>
      <c r="F4">
        <f>IF(D4&gt;0,"OVER","OK")</f>
        <v/>
      </c>
    </row>
    <row r="5">
      <c r="A5" t="inlineStr">
        <is>
          <t>Office</t>
        </is>
      </c>
      <c r="B5" t="n">
        <v>35000</v>
      </c>
      <c r="C5" t="n">
        <v>28900</v>
      </c>
      <c r="D5">
        <f>C5-B5</f>
        <v/>
      </c>
      <c r="E5" s="3">
        <f>C5/B5</f>
        <v/>
      </c>
      <c r="F5">
        <f>IF(D5&gt;0,"OVER","OK")</f>
        <v/>
      </c>
    </row>
    <row r="6">
      <c r="A6" t="inlineStr">
        <is>
          <t>Travel</t>
        </is>
      </c>
      <c r="B6" t="n">
        <v>45000</v>
      </c>
      <c r="C6" t="n">
        <v>51200</v>
      </c>
      <c r="D6">
        <f>C6-B6</f>
        <v/>
      </c>
      <c r="E6" s="3">
        <f>C6/B6</f>
        <v/>
      </c>
      <c r="F6">
        <f>IF(D6&gt;0,"OVER","OK")</f>
        <v/>
      </c>
    </row>
    <row r="7">
      <c r="A7" t="inlineStr">
        <is>
          <t>Software</t>
        </is>
      </c>
      <c r="B7" t="n">
        <v>60000</v>
      </c>
      <c r="C7" t="n">
        <v>58700</v>
      </c>
      <c r="D7">
        <f>C7-B7</f>
        <v/>
      </c>
      <c r="E7" s="3">
        <f>C7/B7</f>
        <v/>
      </c>
      <c r="F7">
        <f>IF(D7&gt;0,"OVER","OK")</f>
        <v/>
      </c>
    </row>
    <row r="8">
      <c r="A8" t="inlineStr">
        <is>
          <t>Misc</t>
        </is>
      </c>
      <c r="B8" t="n">
        <v>15000</v>
      </c>
      <c r="C8" t="n">
        <v>12300</v>
      </c>
      <c r="D8">
        <f>C8-B8</f>
        <v/>
      </c>
      <c r="E8" s="3">
        <f>C8/B8</f>
        <v/>
      </c>
      <c r="F8">
        <f>IF(D8&gt;0,"OVER","OK")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 s="3">
        <f>C9/B9</f>
        <v/>
      </c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Items</t>
        </is>
      </c>
      <c r="B2">
        <f>Inventory!C10</f>
        <v/>
      </c>
    </row>
    <row r="3">
      <c r="A3" t="inlineStr">
        <is>
          <t>Total Inventory Value</t>
        </is>
      </c>
      <c r="B3">
        <f>Inventory!G10</f>
        <v/>
      </c>
    </row>
    <row r="4">
      <c r="A4" t="inlineStr">
        <is>
          <t>Total 2026 Revenue</t>
        </is>
      </c>
      <c r="B4">
        <f>SUM('Sales 2026'!E2:E11)</f>
        <v/>
      </c>
    </row>
    <row r="5">
      <c r="A5" t="inlineStr">
        <is>
          <t>Avg Sale Revenue</t>
        </is>
      </c>
      <c r="B5">
        <f>AVERAGE('Sales 2026'!E2:E11)</f>
        <v/>
      </c>
    </row>
    <row r="6">
      <c r="A6" t="inlineStr">
        <is>
          <t>Headcount</t>
        </is>
      </c>
      <c r="B6">
        <f>COUNTA(Employees!B2:B8)</f>
        <v/>
      </c>
    </row>
    <row r="7">
      <c r="A7" t="inlineStr">
        <is>
          <t>Payroll</t>
        </is>
      </c>
      <c r="B7">
        <f>SUM(Employees!E2:E8)</f>
        <v/>
      </c>
    </row>
    <row r="8">
      <c r="A8" t="inlineStr">
        <is>
          <t>Budget Variance</t>
        </is>
      </c>
      <c r="B8">
        <f>SUM(Budget!D2:D8)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2026-06-16T09:12:40Z</dcterms:created>
  <dcterms:modified xmlns:dcterms="http://purl.org/dc/terms/" xmlns:xsi="http://www.w3.org/2001/XMLSchema-instance" xsi:type="dcterms:W3CDTF">2026-06-16T09:12:40Z</dcterms:modified>
</cp:coreProperties>
</file>